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roskyla/Documents/IncludeHer/IncludeHerD2/IncludeHer_UK/output/WordReady/"/>
    </mc:Choice>
  </mc:AlternateContent>
  <xr:revisionPtr revIDLastSave="0" documentId="8_{9C65402D-1C8E-C344-9105-5E1AA7AF0EE9}" xr6:coauthVersionLast="47" xr6:coauthVersionMax="47" xr10:uidLastSave="{00000000-0000-0000-0000-000000000000}"/>
  <bookViews>
    <workbookView xWindow="360" yWindow="620" windowWidth="24600" windowHeight="16360" xr2:uid="{57465398-8DAA-4442-B900-8608EF854DCD}"/>
  </bookViews>
  <sheets>
    <sheet name="BTEC L2" sheetId="3" r:id="rId1"/>
    <sheet name="BTEC L3" sheetId="5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3" l="1"/>
  <c r="H16" i="3"/>
  <c r="I97" i="5"/>
  <c r="I99" i="5"/>
  <c r="I98" i="5"/>
  <c r="H99" i="5"/>
  <c r="H98" i="5"/>
  <c r="H97" i="5"/>
  <c r="B17" i="3"/>
  <c r="B16" i="3"/>
  <c r="B98" i="5"/>
  <c r="B97" i="5"/>
</calcChain>
</file>

<file path=xl/sharedStrings.xml><?xml version="1.0" encoding="utf-8"?>
<sst xmlns="http://schemas.openxmlformats.org/spreadsheetml/2006/main" count="778" uniqueCount="246">
  <si>
    <t>Subject</t>
  </si>
  <si>
    <t>Name of Scientist</t>
  </si>
  <si>
    <t>Gender</t>
  </si>
  <si>
    <t>Type of Mention</t>
  </si>
  <si>
    <t>Nationality</t>
  </si>
  <si>
    <t>Region</t>
  </si>
  <si>
    <t>Notes</t>
  </si>
  <si>
    <t>Thomas Young</t>
  </si>
  <si>
    <t>Christian Doppler</t>
  </si>
  <si>
    <t>Edwin Hubble</t>
  </si>
  <si>
    <t>North America</t>
  </si>
  <si>
    <t>Ludwig Boltzmann</t>
  </si>
  <si>
    <t>Robert Hooke</t>
  </si>
  <si>
    <t>Josef Stefan</t>
  </si>
  <si>
    <t>Michael Faraday</t>
  </si>
  <si>
    <t>Georg Simon Ohm</t>
  </si>
  <si>
    <t>Schwarzschild radius</t>
  </si>
  <si>
    <t>Karl Schwarzschild</t>
  </si>
  <si>
    <t>Henry Norris Russell</t>
  </si>
  <si>
    <t>Ejnar Hertzsprung</t>
  </si>
  <si>
    <t>John Ambrose Fleming</t>
  </si>
  <si>
    <t>Friedrich Gustav Jakob Henle</t>
  </si>
  <si>
    <t>Wilhelm His Jr.</t>
  </si>
  <si>
    <t>Stanley Rossiter Benedict</t>
  </si>
  <si>
    <t>Golgi apparatus</t>
  </si>
  <si>
    <t>Camillo Golgi</t>
  </si>
  <si>
    <t>Calvin cycle</t>
  </si>
  <si>
    <t>Melvin Calvin</t>
  </si>
  <si>
    <t>Hermann von Fehling</t>
  </si>
  <si>
    <t>Bernhard Tollens</t>
  </si>
  <si>
    <t>Fritz Haber</t>
  </si>
  <si>
    <t>Haber process</t>
  </si>
  <si>
    <t>Charles Friedel</t>
  </si>
  <si>
    <t>Josiah Willard Gibbs</t>
  </si>
  <si>
    <t>Johannes Diderik van der Waals</t>
  </si>
  <si>
    <t>German</t>
  </si>
  <si>
    <t>Bohr theory</t>
  </si>
  <si>
    <t>Use of Beer-Lambert law</t>
  </si>
  <si>
    <t>Siwoloboff method for small quantities</t>
  </si>
  <si>
    <t>Hirsch funnels</t>
  </si>
  <si>
    <t>Hall–Héroult</t>
  </si>
  <si>
    <t>Know the Kelvin scale of temperature</t>
  </si>
  <si>
    <t>Purkinje fibres</t>
  </si>
  <si>
    <t>Loop of Henle</t>
  </si>
  <si>
    <t>Hookes Law</t>
  </si>
  <si>
    <t>non-Newtonian fluid flow</t>
  </si>
  <si>
    <t>Islets of Langerhans</t>
  </si>
  <si>
    <t>Graafian follicles</t>
  </si>
  <si>
    <t>Krebs cycle</t>
  </si>
  <si>
    <t>Use of Punnett squares</t>
  </si>
  <si>
    <t>Interpretation of Mendelian ratios</t>
  </si>
  <si>
    <t>Brønsted-Lowry acid is a proton donor.</t>
  </si>
  <si>
    <t>Brønsted-Lowry base is a proton acceptor.</t>
  </si>
  <si>
    <t>Friedel-Crafts reaction to form methylbenzene</t>
  </si>
  <si>
    <t>Wheatstone bridge arrangement</t>
  </si>
  <si>
    <t>Van-Allen radiation belts</t>
  </si>
  <si>
    <t>Kuiper Belt and Oort Cloud.</t>
  </si>
  <si>
    <t>Jupiter's Galilean moons</t>
  </si>
  <si>
    <t>Jeans mass</t>
  </si>
  <si>
    <t>Chandrasekhar limit</t>
  </si>
  <si>
    <t>Hertzsprung-Russell (H–R) diagram.</t>
  </si>
  <si>
    <t>Doppler effect</t>
  </si>
  <si>
    <t>MacConkey agar</t>
  </si>
  <si>
    <t>Gibbs energy</t>
  </si>
  <si>
    <t>Arrhenius equation</t>
  </si>
  <si>
    <t>Solvay process</t>
  </si>
  <si>
    <t>Bragg peak internal radiotherapy</t>
  </si>
  <si>
    <t>Bakelite</t>
  </si>
  <si>
    <t>Griess test</t>
  </si>
  <si>
    <t>Stirling cycle coolers, Gifford-McMahon</t>
  </si>
  <si>
    <t>Joule-Thomson coolers</t>
  </si>
  <si>
    <t>Dewar vessels</t>
  </si>
  <si>
    <t>McLeod gauges</t>
  </si>
  <si>
    <t>Pirani and thermocouple gauges</t>
  </si>
  <si>
    <t>Niels Bohr</t>
  </si>
  <si>
    <t>Danish</t>
  </si>
  <si>
    <t>Dutch</t>
  </si>
  <si>
    <t>Italian</t>
  </si>
  <si>
    <t>James Parkinson</t>
  </si>
  <si>
    <t>English</t>
  </si>
  <si>
    <t>August Beer</t>
  </si>
  <si>
    <t>Johann Heinrich Lambert</t>
  </si>
  <si>
    <t>French</t>
  </si>
  <si>
    <t>A. Siwoloboff</t>
  </si>
  <si>
    <t>Russian</t>
  </si>
  <si>
    <t>Büchner funnels</t>
  </si>
  <si>
    <t>Ernst Büchner</t>
  </si>
  <si>
    <t>Charles Martin Hall</t>
  </si>
  <si>
    <t>American</t>
  </si>
  <si>
    <t>Paul Héroult</t>
  </si>
  <si>
    <t>Jan Evangelista Purkyně</t>
  </si>
  <si>
    <t>Swiss</t>
  </si>
  <si>
    <t>Bowman's capsule</t>
  </si>
  <si>
    <t>William Bowman</t>
  </si>
  <si>
    <t>Isaac Newton</t>
  </si>
  <si>
    <t>Bernoulli's principle.</t>
  </si>
  <si>
    <t>Daniel Bernoulli</t>
  </si>
  <si>
    <t>Thomas Hodgkin</t>
  </si>
  <si>
    <t>Czech</t>
  </si>
  <si>
    <t>Paul Langerhans</t>
  </si>
  <si>
    <t>Cowper's gland</t>
  </si>
  <si>
    <t>William Cowper</t>
  </si>
  <si>
    <t>Regnier de Graaf</t>
  </si>
  <si>
    <t>Enrico Sertoli</t>
  </si>
  <si>
    <t>Franz Leydig</t>
  </si>
  <si>
    <t>Hans Adolf Krebs</t>
  </si>
  <si>
    <t>Mendel's laws of inheritance</t>
  </si>
  <si>
    <t>Gregor Mendel</t>
  </si>
  <si>
    <t>Reginald Punnett</t>
  </si>
  <si>
    <t>George Huntington</t>
  </si>
  <si>
    <t>Bernard Sachs</t>
  </si>
  <si>
    <t>John Langdon Down</t>
  </si>
  <si>
    <t>Degenerative – gradual decline in function, e.g. Alzheimer's, osteoporosis, osteoarthritis</t>
  </si>
  <si>
    <t>Alois Alzheimer</t>
  </si>
  <si>
    <t>Johannes Nicolaus Brønsted</t>
  </si>
  <si>
    <t>Thomas Martin Lowry</t>
  </si>
  <si>
    <t>Tollens' reagent, Benedict's or Fehling's reagents</t>
  </si>
  <si>
    <t>August Kekulé</t>
  </si>
  <si>
    <t>James Mason Crafts</t>
  </si>
  <si>
    <t>Use of Ohm's Law</t>
  </si>
  <si>
    <t>Kirchoff's Laws</t>
  </si>
  <si>
    <t>Gustav Kirchhoff</t>
  </si>
  <si>
    <t>Fleming's left hand rule</t>
  </si>
  <si>
    <t>Fleming's right hand rule.</t>
  </si>
  <si>
    <t>Electromagnetic induction and Faraday's Law.</t>
  </si>
  <si>
    <t>Principles of Lenz's law.</t>
  </si>
  <si>
    <t>Charles Wheatstone</t>
  </si>
  <si>
    <t>James Van Allen</t>
  </si>
  <si>
    <t>Kepler's laws</t>
  </si>
  <si>
    <t>Johannes Kepler</t>
  </si>
  <si>
    <t>Gerard Kuiper</t>
  </si>
  <si>
    <t>Dutch-American</t>
  </si>
  <si>
    <t>Subrahmanyan Chandrasekhar</t>
  </si>
  <si>
    <t>Indian-American</t>
  </si>
  <si>
    <t>Galileo Galilei</t>
  </si>
  <si>
    <t>Austrian</t>
  </si>
  <si>
    <t>Olbers' paradox</t>
  </si>
  <si>
    <t>Frank Drake</t>
  </si>
  <si>
    <t>Bacteria, to include reference to Bergey's Manual of Systematic Biology</t>
  </si>
  <si>
    <t>David Hendricks Bergey</t>
  </si>
  <si>
    <t>Alfred Theodore MacConkey</t>
  </si>
  <si>
    <t>Hess's Law</t>
  </si>
  <si>
    <t>Svante Arrhenius</t>
  </si>
  <si>
    <t>Swedish</t>
  </si>
  <si>
    <t>Ernest Solvay</t>
  </si>
  <si>
    <t>Belgian</t>
  </si>
  <si>
    <t>Le Châtelier's principle</t>
  </si>
  <si>
    <t>William Henry Bragg</t>
  </si>
  <si>
    <t>Leo Baekeland</t>
  </si>
  <si>
    <t>Belgian-American</t>
  </si>
  <si>
    <t>Fourier's law</t>
  </si>
  <si>
    <t>Joseph Fourier</t>
  </si>
  <si>
    <t>Wien's law and Stefan's law</t>
  </si>
  <si>
    <t>Wilhelm Wien</t>
  </si>
  <si>
    <t>Robert Stirling</t>
  </si>
  <si>
    <t>Scottish</t>
  </si>
  <si>
    <t>Canadian-American</t>
  </si>
  <si>
    <t>James Prescott Joule</t>
  </si>
  <si>
    <t>James Dewar</t>
  </si>
  <si>
    <t>Herbert McLeod</t>
  </si>
  <si>
    <t>Marcello Pirani</t>
  </si>
  <si>
    <t>Frans Michel Penning</t>
  </si>
  <si>
    <t>Peter Dearman</t>
  </si>
  <si>
    <t>Naismith's rule</t>
  </si>
  <si>
    <t>Kekulé structure</t>
  </si>
  <si>
    <t>Punnett squares</t>
  </si>
  <si>
    <t>Sankey diagrams to represent energy transformations</t>
  </si>
  <si>
    <t>Ohm’s law</t>
  </si>
  <si>
    <t>Darwin’s theory of evolution</t>
  </si>
  <si>
    <t>Einstein’s theory of general relativity</t>
  </si>
  <si>
    <t>Einstein’s theory of special relativity</t>
  </si>
  <si>
    <t>Newton’s law of gravity</t>
  </si>
  <si>
    <t>Role models (Bandura).</t>
  </si>
  <si>
    <t>Galaxy types (Hubble classification)</t>
  </si>
  <si>
    <t xml:space="preserve"> The Haber process</t>
  </si>
  <si>
    <t>Mentioned in Form</t>
  </si>
  <si>
    <t>Science</t>
  </si>
  <si>
    <t>Pedigree analysis, e.g. sickle cell disease, Huntingdon’s disease.</t>
  </si>
  <si>
    <t>Number of Mentions</t>
  </si>
  <si>
    <t>Screening programmes for antenatal, e.g. Down’s syndrome</t>
  </si>
  <si>
    <t>Using Avogadro’s law to calculate volumes of gases</t>
  </si>
  <si>
    <t>Sir Isaac Newton</t>
  </si>
  <si>
    <t>male</t>
  </si>
  <si>
    <t>concept</t>
  </si>
  <si>
    <t>english</t>
  </si>
  <si>
    <t>europe</t>
  </si>
  <si>
    <t>Albert Einstein</t>
  </si>
  <si>
    <t>german</t>
  </si>
  <si>
    <t>Amedeo Avogadro</t>
  </si>
  <si>
    <t>italian</t>
  </si>
  <si>
    <t>George Simon Ohm</t>
  </si>
  <si>
    <t>british</t>
  </si>
  <si>
    <t>american</t>
  </si>
  <si>
    <t>north america</t>
  </si>
  <si>
    <t>Charles Darwin</t>
  </si>
  <si>
    <t>Matthew Henry Phineas Riall Sankey</t>
  </si>
  <si>
    <t>irish</t>
  </si>
  <si>
    <t>Albert Bandura</t>
  </si>
  <si>
    <t>canadian</t>
  </si>
  <si>
    <t>Bundle of His</t>
  </si>
  <si>
    <t>Role of Sertoli and Leydig cells</t>
  </si>
  <si>
    <t>Incomplete dominance/blending, e.g. Tay Sachs disease and co-dominance, e.g. blood groups</t>
  </si>
  <si>
    <t>The Drake Equation</t>
  </si>
  <si>
    <t>The Boltzmann constant</t>
  </si>
  <si>
    <t>Ionisation properties gauges, to include Penning and ionisation gauges</t>
  </si>
  <si>
    <t>The Dearman liquid-airpowered engine</t>
  </si>
  <si>
    <t>William Naismith</t>
  </si>
  <si>
    <t>Europe</t>
  </si>
  <si>
    <t>van der Waals / tertiary structure, to include ionic interaction, hydrogen bonding, sulphur bridges and van der Waal's forces</t>
  </si>
  <si>
    <t>How imbalances in certain, naturally occurring brain chemicals can contribute to ill health, including dopamine in Parkinson's disease and serotonin in depression / the effects of drugs on synaptic transmission, including the use of L-Dopa in the treatment of Parkinson's disease / Neurological disorders, e.g. Parkinson's disease, multiple sclerosis / Stem cell therapies, e.g. Parkinson's disease, macular degeneration, spinal cord injuries.</t>
  </si>
  <si>
    <t>British</t>
  </si>
  <si>
    <t>Swiss/Alsatian</t>
  </si>
  <si>
    <t>William Thomson (Lord Kelvin)</t>
  </si>
  <si>
    <t>British (Scots-Irish)</t>
  </si>
  <si>
    <t>Young's modulus / Young's modulus as an equation</t>
  </si>
  <si>
    <t>Waren Tay</t>
  </si>
  <si>
    <t>Chromosome mutation, e.g. Down's syndrome, Turner syndrome.</t>
  </si>
  <si>
    <t>Henry Turner</t>
  </si>
  <si>
    <t>German-British</t>
  </si>
  <si>
    <t>Austrian (Moravian)</t>
  </si>
  <si>
    <t>Single gene disorders, e.g. Huntington's disease, sickle cell anaemia, cystic fibrosis</t>
  </si>
  <si>
    <t>Heinrich Lenz</t>
  </si>
  <si>
    <t>Baltic German/Russian</t>
  </si>
  <si>
    <t>Jan Oort</t>
  </si>
  <si>
    <t>James Jeans</t>
  </si>
  <si>
    <t>Asia</t>
  </si>
  <si>
    <t>Hubble's law</t>
  </si>
  <si>
    <t>Heinrich Olbers</t>
  </si>
  <si>
    <t>Germain Hess</t>
  </si>
  <si>
    <t>Swiss-Russian</t>
  </si>
  <si>
    <t>Henry Louis Le Chatelier</t>
  </si>
  <si>
    <t>Lymphomas such as Hodgkin's, non-Hodgkin's diseases</t>
  </si>
  <si>
    <t>Peter Griess</t>
  </si>
  <si>
    <t>William Gifford</t>
  </si>
  <si>
    <t>Howard McMahon</t>
  </si>
  <si>
    <t>Scottish/British</t>
  </si>
  <si>
    <t>Italian-German</t>
  </si>
  <si>
    <t>inventor, not a conventional scientist</t>
  </si>
  <si>
    <t>not really a scientist, a mountaineer</t>
  </si>
  <si>
    <t>Not certain on first name</t>
  </si>
  <si>
    <t>Robert Hirsch</t>
  </si>
  <si>
    <t>Austrian-Slovene</t>
  </si>
  <si>
    <t>Number of Scientists</t>
  </si>
  <si>
    <t>European</t>
  </si>
  <si>
    <t>North-American</t>
  </si>
  <si>
    <t>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</si>
</sst>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33" borderId="10" xfId="0" applyFill="1" applyBorder="1" applyAlignment="1">
      <alignment vertical="top" wrapText="1"/>
    </xf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201A0-AD17-3048-8BA4-9F678C05B858}">
  <dimension ref="A1:I17"/>
  <sheetViews>
    <sheetView tabSelected="1" workbookViewId="0">
      <selection activeCell="D16" sqref="D16"/>
    </sheetView>
  </sheetViews>
  <sheetFormatPr baseColWidth="10" defaultRowHeight="16" x14ac:dyDescent="0.2"/>
  <cols>
    <col min="2" max="2" width="62.1640625" bestFit="1" customWidth="1"/>
    <col min="3" max="3" width="10.83203125" customWidth="1"/>
    <col min="4" max="4" width="30.6640625" bestFit="1" customWidth="1"/>
    <col min="6" max="6" width="13.6640625" bestFit="1" customWidth="1"/>
    <col min="7" max="7" width="14.1640625" bestFit="1" customWidth="1"/>
    <col min="8" max="8" width="12.5" bestFit="1" customWidth="1"/>
  </cols>
  <sheetData>
    <row r="1" spans="1:9" ht="34" x14ac:dyDescent="0.2">
      <c r="A1" t="s">
        <v>0</v>
      </c>
      <c r="B1" t="s">
        <v>175</v>
      </c>
      <c r="C1" s="1" t="s">
        <v>178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">
      <c r="A2" t="s">
        <v>176</v>
      </c>
      <c r="B2" t="s">
        <v>165</v>
      </c>
      <c r="C2">
        <v>1</v>
      </c>
      <c r="D2" t="s">
        <v>108</v>
      </c>
      <c r="E2" t="s">
        <v>182</v>
      </c>
      <c r="F2" t="s">
        <v>183</v>
      </c>
      <c r="G2" t="s">
        <v>191</v>
      </c>
      <c r="H2" t="s">
        <v>185</v>
      </c>
    </row>
    <row r="3" spans="1:9" x14ac:dyDescent="0.2">
      <c r="A3" t="s">
        <v>176</v>
      </c>
      <c r="B3" t="s">
        <v>177</v>
      </c>
      <c r="C3">
        <v>1</v>
      </c>
      <c r="D3" t="s">
        <v>109</v>
      </c>
      <c r="E3" t="s">
        <v>182</v>
      </c>
      <c r="F3" t="s">
        <v>183</v>
      </c>
      <c r="G3" t="s">
        <v>192</v>
      </c>
      <c r="H3" t="s">
        <v>193</v>
      </c>
    </row>
    <row r="4" spans="1:9" x14ac:dyDescent="0.2">
      <c r="A4" t="s">
        <v>176</v>
      </c>
      <c r="B4" t="s">
        <v>166</v>
      </c>
      <c r="C4">
        <v>1</v>
      </c>
      <c r="D4" t="s">
        <v>195</v>
      </c>
      <c r="E4" t="s">
        <v>182</v>
      </c>
      <c r="F4" t="s">
        <v>183</v>
      </c>
      <c r="G4" t="s">
        <v>196</v>
      </c>
      <c r="H4" t="s">
        <v>185</v>
      </c>
    </row>
    <row r="5" spans="1:9" x14ac:dyDescent="0.2">
      <c r="A5" t="s">
        <v>176</v>
      </c>
      <c r="B5" t="s">
        <v>167</v>
      </c>
      <c r="C5">
        <v>3</v>
      </c>
      <c r="D5" t="s">
        <v>190</v>
      </c>
      <c r="E5" t="s">
        <v>182</v>
      </c>
      <c r="F5" t="s">
        <v>183</v>
      </c>
      <c r="G5" t="s">
        <v>187</v>
      </c>
      <c r="H5" t="s">
        <v>185</v>
      </c>
    </row>
    <row r="6" spans="1:9" x14ac:dyDescent="0.2">
      <c r="A6" t="s">
        <v>176</v>
      </c>
      <c r="B6" t="s">
        <v>179</v>
      </c>
      <c r="C6">
        <v>1</v>
      </c>
      <c r="D6" t="s">
        <v>111</v>
      </c>
      <c r="E6" t="s">
        <v>182</v>
      </c>
      <c r="F6" t="s">
        <v>183</v>
      </c>
      <c r="G6" t="s">
        <v>191</v>
      </c>
      <c r="H6" t="s">
        <v>185</v>
      </c>
    </row>
    <row r="7" spans="1:9" x14ac:dyDescent="0.2">
      <c r="A7" t="s">
        <v>176</v>
      </c>
      <c r="B7" t="s">
        <v>168</v>
      </c>
      <c r="C7">
        <v>1</v>
      </c>
      <c r="D7" t="s">
        <v>194</v>
      </c>
      <c r="E7" t="s">
        <v>182</v>
      </c>
      <c r="F7" t="s">
        <v>183</v>
      </c>
      <c r="G7" t="s">
        <v>184</v>
      </c>
      <c r="H7" t="s">
        <v>185</v>
      </c>
    </row>
    <row r="8" spans="1:9" x14ac:dyDescent="0.2">
      <c r="A8" t="s">
        <v>176</v>
      </c>
      <c r="B8" t="s">
        <v>169</v>
      </c>
      <c r="C8">
        <v>1</v>
      </c>
      <c r="D8" t="s">
        <v>186</v>
      </c>
      <c r="E8" t="s">
        <v>182</v>
      </c>
      <c r="F8" t="s">
        <v>183</v>
      </c>
      <c r="G8" t="s">
        <v>187</v>
      </c>
      <c r="H8" t="s">
        <v>185</v>
      </c>
    </row>
    <row r="9" spans="1:9" x14ac:dyDescent="0.2">
      <c r="A9" t="s">
        <v>176</v>
      </c>
      <c r="B9" t="s">
        <v>170</v>
      </c>
      <c r="C9">
        <v>1</v>
      </c>
      <c r="D9" t="s">
        <v>186</v>
      </c>
      <c r="E9" t="s">
        <v>182</v>
      </c>
      <c r="F9" t="s">
        <v>183</v>
      </c>
      <c r="G9" t="s">
        <v>187</v>
      </c>
      <c r="H9" t="s">
        <v>185</v>
      </c>
    </row>
    <row r="10" spans="1:9" x14ac:dyDescent="0.2">
      <c r="A10" t="s">
        <v>176</v>
      </c>
      <c r="B10" t="s">
        <v>171</v>
      </c>
      <c r="C10">
        <v>1</v>
      </c>
      <c r="D10" t="s">
        <v>181</v>
      </c>
      <c r="E10" t="s">
        <v>182</v>
      </c>
      <c r="F10" t="s">
        <v>183</v>
      </c>
      <c r="G10" t="s">
        <v>184</v>
      </c>
      <c r="H10" t="s">
        <v>185</v>
      </c>
    </row>
    <row r="11" spans="1:9" x14ac:dyDescent="0.2">
      <c r="A11" t="s">
        <v>176</v>
      </c>
      <c r="B11" t="s">
        <v>172</v>
      </c>
      <c r="C11">
        <v>1</v>
      </c>
      <c r="D11" t="s">
        <v>197</v>
      </c>
      <c r="E11" t="s">
        <v>182</v>
      </c>
      <c r="F11" t="s">
        <v>183</v>
      </c>
      <c r="G11" t="s">
        <v>198</v>
      </c>
      <c r="H11" t="s">
        <v>193</v>
      </c>
    </row>
    <row r="12" spans="1:9" x14ac:dyDescent="0.2">
      <c r="A12" t="s">
        <v>176</v>
      </c>
      <c r="B12" t="s">
        <v>173</v>
      </c>
      <c r="C12">
        <v>1</v>
      </c>
      <c r="D12" t="s">
        <v>9</v>
      </c>
      <c r="E12" t="s">
        <v>182</v>
      </c>
      <c r="F12" t="s">
        <v>183</v>
      </c>
      <c r="G12" t="s">
        <v>192</v>
      </c>
      <c r="H12" t="s">
        <v>193</v>
      </c>
    </row>
    <row r="13" spans="1:9" x14ac:dyDescent="0.2">
      <c r="A13" t="s">
        <v>176</v>
      </c>
      <c r="B13" t="s">
        <v>180</v>
      </c>
      <c r="C13">
        <v>1</v>
      </c>
      <c r="D13" t="s">
        <v>188</v>
      </c>
      <c r="E13" t="s">
        <v>182</v>
      </c>
      <c r="F13" t="s">
        <v>183</v>
      </c>
      <c r="G13" t="s">
        <v>189</v>
      </c>
      <c r="H13" t="s">
        <v>185</v>
      </c>
    </row>
    <row r="14" spans="1:9" x14ac:dyDescent="0.2">
      <c r="A14" t="s">
        <v>176</v>
      </c>
      <c r="B14" t="s">
        <v>174</v>
      </c>
      <c r="C14">
        <v>1</v>
      </c>
      <c r="D14" t="s">
        <v>30</v>
      </c>
      <c r="E14" t="s">
        <v>182</v>
      </c>
      <c r="F14" t="s">
        <v>183</v>
      </c>
      <c r="G14" t="s">
        <v>187</v>
      </c>
      <c r="H14" t="s">
        <v>185</v>
      </c>
    </row>
    <row r="16" spans="1:9" ht="34" x14ac:dyDescent="0.2">
      <c r="A16" s="4" t="s">
        <v>178</v>
      </c>
      <c r="B16" s="4">
        <f>ROWS(D2:D14)</f>
        <v>13</v>
      </c>
      <c r="G16" s="5" t="s">
        <v>243</v>
      </c>
      <c r="H16" s="5">
        <f>(10/13)*100</f>
        <v>76.923076923076934</v>
      </c>
    </row>
    <row r="17" spans="1:8" ht="34" x14ac:dyDescent="0.2">
      <c r="A17" s="4" t="s">
        <v>242</v>
      </c>
      <c r="B17" s="4">
        <f>ROWS(_xlfn.UNIQUE(D2:D14))</f>
        <v>12</v>
      </c>
      <c r="G17" s="5" t="s">
        <v>244</v>
      </c>
      <c r="H17" s="5">
        <f>(3/13)*100</f>
        <v>23.076923076923077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0069F-C9BF-6841-836A-BE9EC3D9B581}">
  <dimension ref="A1:I99"/>
  <sheetViews>
    <sheetView topLeftCell="A90" workbookViewId="0">
      <selection activeCell="D100" sqref="D100"/>
    </sheetView>
  </sheetViews>
  <sheetFormatPr baseColWidth="10" defaultRowHeight="16" x14ac:dyDescent="0.2"/>
  <cols>
    <col min="1" max="1" width="10.83203125" style="2"/>
    <col min="2" max="2" width="28" style="2" customWidth="1"/>
    <col min="3" max="3" width="10.83203125" style="2"/>
    <col min="4" max="4" width="26.83203125" style="2" bestFit="1" customWidth="1"/>
    <col min="5" max="8" width="10.83203125" style="2"/>
    <col min="9" max="9" width="11.6640625" style="2" bestFit="1" customWidth="1"/>
    <col min="10" max="16384" width="10.83203125" style="2"/>
  </cols>
  <sheetData>
    <row r="1" spans="1:9" ht="34" x14ac:dyDescent="0.2">
      <c r="A1" s="2" t="s">
        <v>0</v>
      </c>
      <c r="B1" s="2" t="s">
        <v>175</v>
      </c>
      <c r="C1" s="2" t="s">
        <v>178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7" x14ac:dyDescent="0.2">
      <c r="A2" s="2" t="s">
        <v>176</v>
      </c>
      <c r="B2" s="2" t="s">
        <v>36</v>
      </c>
      <c r="C2" s="2">
        <v>1</v>
      </c>
      <c r="D2" s="2" t="s">
        <v>74</v>
      </c>
      <c r="E2" s="2" t="s">
        <v>182</v>
      </c>
      <c r="F2" s="2" t="s">
        <v>183</v>
      </c>
      <c r="G2" s="2" t="s">
        <v>75</v>
      </c>
      <c r="H2" s="2" t="s">
        <v>207</v>
      </c>
    </row>
    <row r="3" spans="1:9" ht="85" x14ac:dyDescent="0.2">
      <c r="A3" s="2" t="s">
        <v>176</v>
      </c>
      <c r="B3" s="2" t="s">
        <v>208</v>
      </c>
      <c r="C3" s="2">
        <v>2</v>
      </c>
      <c r="D3" s="2" t="s">
        <v>34</v>
      </c>
      <c r="E3" s="2" t="s">
        <v>182</v>
      </c>
      <c r="F3" s="2" t="s">
        <v>183</v>
      </c>
      <c r="G3" s="2" t="s">
        <v>76</v>
      </c>
      <c r="H3" s="2" t="s">
        <v>207</v>
      </c>
    </row>
    <row r="4" spans="1:9" ht="17" x14ac:dyDescent="0.2">
      <c r="A4" s="2" t="s">
        <v>176</v>
      </c>
      <c r="B4" s="2" t="s">
        <v>24</v>
      </c>
      <c r="C4" s="2">
        <v>1</v>
      </c>
      <c r="D4" s="2" t="s">
        <v>25</v>
      </c>
      <c r="E4" s="2" t="s">
        <v>182</v>
      </c>
      <c r="F4" s="2" t="s">
        <v>183</v>
      </c>
      <c r="G4" s="2" t="s">
        <v>77</v>
      </c>
      <c r="H4" s="2" t="s">
        <v>207</v>
      </c>
    </row>
    <row r="5" spans="1:9" ht="230" customHeight="1" x14ac:dyDescent="0.2">
      <c r="A5" s="2" t="s">
        <v>176</v>
      </c>
      <c r="B5" s="2" t="s">
        <v>209</v>
      </c>
      <c r="C5" s="2">
        <v>4</v>
      </c>
      <c r="D5" s="2" t="s">
        <v>78</v>
      </c>
      <c r="E5" s="2" t="s">
        <v>182</v>
      </c>
      <c r="F5" s="2" t="s">
        <v>183</v>
      </c>
      <c r="G5" s="2" t="s">
        <v>210</v>
      </c>
      <c r="H5" s="2" t="s">
        <v>207</v>
      </c>
    </row>
    <row r="6" spans="1:9" ht="17" x14ac:dyDescent="0.2">
      <c r="A6" s="2" t="s">
        <v>176</v>
      </c>
      <c r="B6" s="2" t="s">
        <v>37</v>
      </c>
      <c r="C6" s="2">
        <v>2</v>
      </c>
      <c r="D6" s="2" t="s">
        <v>80</v>
      </c>
      <c r="E6" s="2" t="s">
        <v>182</v>
      </c>
      <c r="F6" s="2" t="s">
        <v>183</v>
      </c>
      <c r="G6" s="2" t="s">
        <v>35</v>
      </c>
      <c r="H6" s="2" t="s">
        <v>207</v>
      </c>
    </row>
    <row r="7" spans="1:9" ht="34" x14ac:dyDescent="0.2">
      <c r="A7" s="2" t="s">
        <v>176</v>
      </c>
      <c r="B7" s="2" t="s">
        <v>37</v>
      </c>
      <c r="C7" s="2">
        <v>2</v>
      </c>
      <c r="D7" s="2" t="s">
        <v>81</v>
      </c>
      <c r="E7" s="2" t="s">
        <v>182</v>
      </c>
      <c r="F7" s="2" t="s">
        <v>183</v>
      </c>
      <c r="G7" s="2" t="s">
        <v>211</v>
      </c>
      <c r="H7" s="2" t="s">
        <v>207</v>
      </c>
    </row>
    <row r="8" spans="1:9" ht="34" x14ac:dyDescent="0.2">
      <c r="A8" s="2" t="s">
        <v>176</v>
      </c>
      <c r="B8" s="2" t="s">
        <v>38</v>
      </c>
      <c r="C8" s="2">
        <v>1</v>
      </c>
      <c r="D8" s="2" t="s">
        <v>83</v>
      </c>
      <c r="E8" s="2" t="s">
        <v>182</v>
      </c>
      <c r="F8" s="2" t="s">
        <v>183</v>
      </c>
      <c r="G8" s="2" t="s">
        <v>84</v>
      </c>
      <c r="H8" s="2" t="s">
        <v>207</v>
      </c>
      <c r="I8" s="2" t="s">
        <v>239</v>
      </c>
    </row>
    <row r="9" spans="1:9" ht="17" x14ac:dyDescent="0.2">
      <c r="A9" s="2" t="s">
        <v>176</v>
      </c>
      <c r="B9" s="2" t="s">
        <v>85</v>
      </c>
      <c r="C9" s="2">
        <v>1</v>
      </c>
      <c r="D9" s="2" t="s">
        <v>86</v>
      </c>
      <c r="E9" s="2" t="s">
        <v>182</v>
      </c>
      <c r="F9" s="2" t="s">
        <v>183</v>
      </c>
      <c r="G9" s="2" t="s">
        <v>35</v>
      </c>
      <c r="H9" s="2" t="s">
        <v>207</v>
      </c>
    </row>
    <row r="10" spans="1:9" ht="17" x14ac:dyDescent="0.2">
      <c r="A10" s="2" t="s">
        <v>176</v>
      </c>
      <c r="B10" s="2" t="s">
        <v>39</v>
      </c>
      <c r="C10" s="2">
        <v>1</v>
      </c>
      <c r="D10" s="3" t="s">
        <v>240</v>
      </c>
      <c r="F10" s="2" t="s">
        <v>183</v>
      </c>
      <c r="G10" s="2" t="s">
        <v>35</v>
      </c>
      <c r="H10" s="2" t="s">
        <v>207</v>
      </c>
    </row>
    <row r="11" spans="1:9" ht="17" x14ac:dyDescent="0.2">
      <c r="A11" s="2" t="s">
        <v>176</v>
      </c>
      <c r="B11" s="2" t="s">
        <v>31</v>
      </c>
      <c r="C11" s="2">
        <v>1</v>
      </c>
      <c r="D11" s="2" t="s">
        <v>30</v>
      </c>
      <c r="E11" s="2" t="s">
        <v>182</v>
      </c>
      <c r="F11" s="2" t="s">
        <v>183</v>
      </c>
      <c r="G11" s="2" t="s">
        <v>35</v>
      </c>
      <c r="H11" s="2" t="s">
        <v>207</v>
      </c>
    </row>
    <row r="12" spans="1:9" ht="34" x14ac:dyDescent="0.2">
      <c r="A12" s="2" t="s">
        <v>176</v>
      </c>
      <c r="B12" s="2" t="s">
        <v>40</v>
      </c>
      <c r="C12" s="2">
        <v>1</v>
      </c>
      <c r="D12" s="2" t="s">
        <v>87</v>
      </c>
      <c r="E12" s="2" t="s">
        <v>182</v>
      </c>
      <c r="F12" s="2" t="s">
        <v>183</v>
      </c>
      <c r="G12" s="2" t="s">
        <v>88</v>
      </c>
      <c r="H12" s="2" t="s">
        <v>10</v>
      </c>
    </row>
    <row r="13" spans="1:9" ht="17" x14ac:dyDescent="0.2">
      <c r="A13" s="2" t="s">
        <v>176</v>
      </c>
      <c r="B13" s="2" t="s">
        <v>40</v>
      </c>
      <c r="C13" s="2">
        <v>1</v>
      </c>
      <c r="D13" s="2" t="s">
        <v>89</v>
      </c>
      <c r="E13" s="2" t="s">
        <v>182</v>
      </c>
      <c r="F13" s="2" t="s">
        <v>183</v>
      </c>
      <c r="G13" s="2" t="s">
        <v>82</v>
      </c>
      <c r="H13" s="2" t="s">
        <v>207</v>
      </c>
    </row>
    <row r="14" spans="1:9" ht="51" x14ac:dyDescent="0.2">
      <c r="A14" s="2" t="s">
        <v>176</v>
      </c>
      <c r="B14" s="2" t="s">
        <v>41</v>
      </c>
      <c r="C14" s="2">
        <v>1</v>
      </c>
      <c r="D14" s="2" t="s">
        <v>212</v>
      </c>
      <c r="E14" s="2" t="s">
        <v>182</v>
      </c>
      <c r="F14" s="2" t="s">
        <v>183</v>
      </c>
      <c r="G14" s="2" t="s">
        <v>213</v>
      </c>
      <c r="H14" s="2" t="s">
        <v>207</v>
      </c>
    </row>
    <row r="15" spans="1:9" ht="17" x14ac:dyDescent="0.2">
      <c r="A15" s="2" t="s">
        <v>176</v>
      </c>
      <c r="B15" s="2" t="s">
        <v>42</v>
      </c>
      <c r="C15" s="2">
        <v>2</v>
      </c>
      <c r="D15" s="2" t="s">
        <v>90</v>
      </c>
      <c r="E15" s="2" t="s">
        <v>182</v>
      </c>
      <c r="F15" s="2" t="s">
        <v>183</v>
      </c>
      <c r="G15" s="2" t="s">
        <v>98</v>
      </c>
      <c r="H15" s="2" t="s">
        <v>207</v>
      </c>
    </row>
    <row r="16" spans="1:9" ht="17" x14ac:dyDescent="0.2">
      <c r="A16" s="2" t="s">
        <v>176</v>
      </c>
      <c r="B16" s="2" t="s">
        <v>199</v>
      </c>
      <c r="C16" s="2">
        <v>2</v>
      </c>
      <c r="D16" s="2" t="s">
        <v>22</v>
      </c>
      <c r="E16" s="2" t="s">
        <v>182</v>
      </c>
      <c r="F16" s="2" t="s">
        <v>183</v>
      </c>
      <c r="G16" s="2" t="s">
        <v>91</v>
      </c>
      <c r="H16" s="2" t="s">
        <v>207</v>
      </c>
    </row>
    <row r="17" spans="1:8" ht="17" x14ac:dyDescent="0.2">
      <c r="A17" s="2" t="s">
        <v>176</v>
      </c>
      <c r="B17" s="2" t="s">
        <v>92</v>
      </c>
      <c r="C17" s="2">
        <v>1</v>
      </c>
      <c r="D17" s="2" t="s">
        <v>93</v>
      </c>
      <c r="E17" s="2" t="s">
        <v>182</v>
      </c>
      <c r="F17" s="2" t="s">
        <v>183</v>
      </c>
      <c r="G17" s="2" t="s">
        <v>210</v>
      </c>
      <c r="H17" s="2" t="s">
        <v>207</v>
      </c>
    </row>
    <row r="18" spans="1:8" ht="17" x14ac:dyDescent="0.2">
      <c r="A18" s="2" t="s">
        <v>176</v>
      </c>
      <c r="B18" s="2" t="s">
        <v>43</v>
      </c>
      <c r="C18" s="2">
        <v>1</v>
      </c>
      <c r="D18" s="2" t="s">
        <v>21</v>
      </c>
      <c r="E18" s="2" t="s">
        <v>182</v>
      </c>
      <c r="F18" s="2" t="s">
        <v>183</v>
      </c>
      <c r="G18" s="2" t="s">
        <v>35</v>
      </c>
      <c r="H18" s="2" t="s">
        <v>207</v>
      </c>
    </row>
    <row r="19" spans="1:8" ht="34" x14ac:dyDescent="0.2">
      <c r="A19" s="2" t="s">
        <v>176</v>
      </c>
      <c r="B19" s="2" t="s">
        <v>214</v>
      </c>
      <c r="C19" s="2">
        <v>2</v>
      </c>
      <c r="D19" s="2" t="s">
        <v>7</v>
      </c>
      <c r="E19" s="2" t="s">
        <v>182</v>
      </c>
      <c r="F19" s="2" t="s">
        <v>183</v>
      </c>
      <c r="G19" s="2" t="s">
        <v>210</v>
      </c>
      <c r="H19" s="2" t="s">
        <v>207</v>
      </c>
    </row>
    <row r="20" spans="1:8" ht="17" x14ac:dyDescent="0.2">
      <c r="A20" s="2" t="s">
        <v>176</v>
      </c>
      <c r="B20" s="2" t="s">
        <v>44</v>
      </c>
      <c r="C20" s="2">
        <v>1</v>
      </c>
      <c r="D20" s="2" t="s">
        <v>12</v>
      </c>
      <c r="E20" s="2" t="s">
        <v>182</v>
      </c>
      <c r="F20" s="2" t="s">
        <v>183</v>
      </c>
      <c r="G20" s="2" t="s">
        <v>210</v>
      </c>
      <c r="H20" s="2" t="s">
        <v>207</v>
      </c>
    </row>
    <row r="21" spans="1:8" ht="17" x14ac:dyDescent="0.2">
      <c r="A21" s="2" t="s">
        <v>176</v>
      </c>
      <c r="B21" s="2" t="s">
        <v>45</v>
      </c>
      <c r="C21" s="2">
        <v>1</v>
      </c>
      <c r="D21" s="2" t="s">
        <v>94</v>
      </c>
      <c r="E21" s="2" t="s">
        <v>182</v>
      </c>
      <c r="F21" s="2" t="s">
        <v>183</v>
      </c>
      <c r="G21" s="2" t="s">
        <v>79</v>
      </c>
      <c r="H21" s="2" t="s">
        <v>207</v>
      </c>
    </row>
    <row r="22" spans="1:8" ht="17" x14ac:dyDescent="0.2">
      <c r="A22" s="2" t="s">
        <v>176</v>
      </c>
      <c r="B22" s="2" t="s">
        <v>95</v>
      </c>
      <c r="C22" s="2">
        <v>1</v>
      </c>
      <c r="D22" s="2" t="s">
        <v>96</v>
      </c>
      <c r="E22" s="2" t="s">
        <v>182</v>
      </c>
      <c r="F22" s="2" t="s">
        <v>183</v>
      </c>
      <c r="G22" s="2" t="s">
        <v>91</v>
      </c>
      <c r="H22" s="2" t="s">
        <v>207</v>
      </c>
    </row>
    <row r="23" spans="1:8" ht="17" x14ac:dyDescent="0.2">
      <c r="A23" s="2" t="s">
        <v>176</v>
      </c>
      <c r="B23" s="2" t="s">
        <v>46</v>
      </c>
      <c r="C23" s="2">
        <v>1</v>
      </c>
      <c r="D23" s="2" t="s">
        <v>99</v>
      </c>
      <c r="E23" s="2" t="s">
        <v>182</v>
      </c>
      <c r="F23" s="2" t="s">
        <v>183</v>
      </c>
      <c r="G23" s="2" t="s">
        <v>35</v>
      </c>
      <c r="H23" s="2" t="s">
        <v>207</v>
      </c>
    </row>
    <row r="24" spans="1:8" ht="17" x14ac:dyDescent="0.2">
      <c r="A24" s="2" t="s">
        <v>176</v>
      </c>
      <c r="B24" s="2" t="s">
        <v>100</v>
      </c>
      <c r="C24" s="2">
        <v>1</v>
      </c>
      <c r="D24" s="2" t="s">
        <v>101</v>
      </c>
      <c r="E24" s="2" t="s">
        <v>182</v>
      </c>
      <c r="F24" s="2" t="s">
        <v>183</v>
      </c>
      <c r="G24" s="2" t="s">
        <v>210</v>
      </c>
      <c r="H24" s="2" t="s">
        <v>207</v>
      </c>
    </row>
    <row r="25" spans="1:8" ht="17" x14ac:dyDescent="0.2">
      <c r="A25" s="2" t="s">
        <v>176</v>
      </c>
      <c r="B25" s="2" t="s">
        <v>47</v>
      </c>
      <c r="C25" s="2">
        <v>1</v>
      </c>
      <c r="D25" s="2" t="s">
        <v>102</v>
      </c>
      <c r="E25" s="2" t="s">
        <v>182</v>
      </c>
      <c r="F25" s="2" t="s">
        <v>183</v>
      </c>
      <c r="G25" s="2" t="s">
        <v>76</v>
      </c>
      <c r="H25" s="2" t="s">
        <v>207</v>
      </c>
    </row>
    <row r="26" spans="1:8" ht="17" x14ac:dyDescent="0.2">
      <c r="A26" s="2" t="s">
        <v>176</v>
      </c>
      <c r="B26" s="2" t="s">
        <v>200</v>
      </c>
      <c r="C26" s="2">
        <v>1</v>
      </c>
      <c r="D26" s="2" t="s">
        <v>103</v>
      </c>
      <c r="E26" s="2" t="s">
        <v>182</v>
      </c>
      <c r="F26" s="2" t="s">
        <v>183</v>
      </c>
      <c r="G26" s="2" t="s">
        <v>77</v>
      </c>
      <c r="H26" s="2" t="s">
        <v>207</v>
      </c>
    </row>
    <row r="27" spans="1:8" ht="17" x14ac:dyDescent="0.2">
      <c r="A27" s="2" t="s">
        <v>176</v>
      </c>
      <c r="B27" s="2" t="s">
        <v>200</v>
      </c>
      <c r="C27" s="2">
        <v>1</v>
      </c>
      <c r="D27" s="2" t="s">
        <v>104</v>
      </c>
      <c r="E27" s="2" t="s">
        <v>182</v>
      </c>
      <c r="F27" s="2" t="s">
        <v>183</v>
      </c>
      <c r="G27" s="2" t="s">
        <v>35</v>
      </c>
      <c r="H27" s="2" t="s">
        <v>207</v>
      </c>
    </row>
    <row r="28" spans="1:8" ht="68" x14ac:dyDescent="0.2">
      <c r="A28" s="2" t="s">
        <v>176</v>
      </c>
      <c r="B28" s="2" t="s">
        <v>201</v>
      </c>
      <c r="C28" s="2">
        <v>1</v>
      </c>
      <c r="D28" s="2" t="s">
        <v>215</v>
      </c>
      <c r="E28" s="2" t="s">
        <v>182</v>
      </c>
      <c r="F28" s="2" t="s">
        <v>183</v>
      </c>
      <c r="G28" s="2" t="s">
        <v>210</v>
      </c>
      <c r="H28" s="2" t="s">
        <v>207</v>
      </c>
    </row>
    <row r="29" spans="1:8" ht="68" x14ac:dyDescent="0.2">
      <c r="A29" s="2" t="s">
        <v>176</v>
      </c>
      <c r="B29" s="2" t="s">
        <v>201</v>
      </c>
      <c r="C29" s="2">
        <v>1</v>
      </c>
      <c r="D29" s="2" t="s">
        <v>110</v>
      </c>
      <c r="E29" s="2" t="s">
        <v>182</v>
      </c>
      <c r="F29" s="2" t="s">
        <v>183</v>
      </c>
      <c r="G29" s="2" t="s">
        <v>88</v>
      </c>
      <c r="H29" s="2" t="s">
        <v>10</v>
      </c>
    </row>
    <row r="30" spans="1:8" ht="51" x14ac:dyDescent="0.2">
      <c r="A30" s="2" t="s">
        <v>176</v>
      </c>
      <c r="B30" s="2" t="s">
        <v>216</v>
      </c>
      <c r="C30" s="2">
        <v>1</v>
      </c>
      <c r="D30" s="2" t="s">
        <v>217</v>
      </c>
      <c r="E30" s="2" t="s">
        <v>182</v>
      </c>
      <c r="F30" s="2" t="s">
        <v>183</v>
      </c>
      <c r="G30" s="2" t="s">
        <v>88</v>
      </c>
      <c r="H30" s="2" t="s">
        <v>10</v>
      </c>
    </row>
    <row r="31" spans="1:8" ht="34" x14ac:dyDescent="0.2">
      <c r="A31" s="2" t="s">
        <v>176</v>
      </c>
      <c r="B31" s="2" t="s">
        <v>48</v>
      </c>
      <c r="C31" s="2">
        <v>1</v>
      </c>
      <c r="D31" s="2" t="s">
        <v>105</v>
      </c>
      <c r="E31" s="2" t="s">
        <v>182</v>
      </c>
      <c r="F31" s="2" t="s">
        <v>183</v>
      </c>
      <c r="G31" s="2" t="s">
        <v>218</v>
      </c>
      <c r="H31" s="2" t="s">
        <v>207</v>
      </c>
    </row>
    <row r="32" spans="1:8" ht="34" x14ac:dyDescent="0.2">
      <c r="A32" s="2" t="s">
        <v>176</v>
      </c>
      <c r="B32" s="2" t="s">
        <v>26</v>
      </c>
      <c r="C32" s="2">
        <v>1</v>
      </c>
      <c r="D32" s="2" t="s">
        <v>27</v>
      </c>
      <c r="E32" s="2" t="s">
        <v>182</v>
      </c>
      <c r="F32" s="2" t="s">
        <v>183</v>
      </c>
      <c r="G32" s="2" t="s">
        <v>88</v>
      </c>
      <c r="H32" s="2" t="s">
        <v>10</v>
      </c>
    </row>
    <row r="33" spans="1:8" ht="34" x14ac:dyDescent="0.2">
      <c r="A33" s="2" t="s">
        <v>176</v>
      </c>
      <c r="B33" s="2" t="s">
        <v>106</v>
      </c>
      <c r="C33" s="2">
        <v>1</v>
      </c>
      <c r="D33" s="2" t="s">
        <v>107</v>
      </c>
      <c r="E33" s="2" t="s">
        <v>182</v>
      </c>
      <c r="F33" s="2" t="s">
        <v>183</v>
      </c>
      <c r="G33" s="2" t="s">
        <v>219</v>
      </c>
      <c r="H33" s="2" t="s">
        <v>207</v>
      </c>
    </row>
    <row r="34" spans="1:8" ht="17" x14ac:dyDescent="0.2">
      <c r="A34" s="2" t="s">
        <v>176</v>
      </c>
      <c r="B34" s="2" t="s">
        <v>49</v>
      </c>
      <c r="C34" s="2">
        <v>2</v>
      </c>
      <c r="D34" s="2" t="s">
        <v>108</v>
      </c>
      <c r="E34" s="2" t="s">
        <v>182</v>
      </c>
      <c r="F34" s="2" t="s">
        <v>183</v>
      </c>
      <c r="G34" s="2" t="s">
        <v>210</v>
      </c>
      <c r="H34" s="2" t="s">
        <v>207</v>
      </c>
    </row>
    <row r="35" spans="1:8" ht="34" x14ac:dyDescent="0.2">
      <c r="A35" s="2" t="s">
        <v>176</v>
      </c>
      <c r="B35" s="2" t="s">
        <v>50</v>
      </c>
      <c r="C35" s="2">
        <v>1</v>
      </c>
      <c r="D35" s="2" t="s">
        <v>107</v>
      </c>
      <c r="E35" s="2" t="s">
        <v>182</v>
      </c>
      <c r="F35" s="2" t="s">
        <v>183</v>
      </c>
      <c r="G35" s="2" t="s">
        <v>219</v>
      </c>
      <c r="H35" s="2" t="s">
        <v>207</v>
      </c>
    </row>
    <row r="36" spans="1:8" ht="51" x14ac:dyDescent="0.2">
      <c r="A36" s="2" t="s">
        <v>176</v>
      </c>
      <c r="B36" s="2" t="s">
        <v>220</v>
      </c>
      <c r="C36" s="2">
        <v>2</v>
      </c>
      <c r="D36" s="2" t="s">
        <v>109</v>
      </c>
      <c r="E36" s="2" t="s">
        <v>182</v>
      </c>
      <c r="F36" s="2" t="s">
        <v>183</v>
      </c>
      <c r="G36" s="2" t="s">
        <v>88</v>
      </c>
      <c r="H36" s="2" t="s">
        <v>10</v>
      </c>
    </row>
    <row r="37" spans="1:8" ht="51" x14ac:dyDescent="0.2">
      <c r="A37" s="2" t="s">
        <v>176</v>
      </c>
      <c r="B37" s="2" t="s">
        <v>216</v>
      </c>
      <c r="C37" s="2">
        <v>1</v>
      </c>
      <c r="D37" s="2" t="s">
        <v>111</v>
      </c>
      <c r="E37" s="2" t="s">
        <v>182</v>
      </c>
      <c r="F37" s="2" t="s">
        <v>183</v>
      </c>
      <c r="G37" s="2" t="s">
        <v>210</v>
      </c>
      <c r="H37" s="2" t="s">
        <v>207</v>
      </c>
    </row>
    <row r="38" spans="1:8" ht="34" x14ac:dyDescent="0.2">
      <c r="A38" s="2" t="s">
        <v>176</v>
      </c>
      <c r="B38" s="2" t="s">
        <v>51</v>
      </c>
      <c r="C38" s="2">
        <v>1</v>
      </c>
      <c r="D38" s="2" t="s">
        <v>115</v>
      </c>
      <c r="E38" s="2" t="s">
        <v>182</v>
      </c>
      <c r="F38" s="2" t="s">
        <v>183</v>
      </c>
      <c r="G38" s="2" t="s">
        <v>210</v>
      </c>
      <c r="H38" s="2" t="s">
        <v>207</v>
      </c>
    </row>
    <row r="39" spans="1:8" ht="34" x14ac:dyDescent="0.2">
      <c r="A39" s="2" t="s">
        <v>176</v>
      </c>
      <c r="B39" s="2" t="s">
        <v>52</v>
      </c>
      <c r="C39" s="2">
        <v>1</v>
      </c>
      <c r="D39" s="2" t="s">
        <v>115</v>
      </c>
      <c r="E39" s="2" t="s">
        <v>182</v>
      </c>
      <c r="F39" s="2" t="s">
        <v>183</v>
      </c>
      <c r="G39" s="2" t="s">
        <v>210</v>
      </c>
      <c r="H39" s="2" t="s">
        <v>207</v>
      </c>
    </row>
    <row r="40" spans="1:8" ht="34" x14ac:dyDescent="0.2">
      <c r="A40" s="2" t="s">
        <v>176</v>
      </c>
      <c r="B40" s="2" t="s">
        <v>51</v>
      </c>
      <c r="C40" s="2">
        <v>1</v>
      </c>
      <c r="D40" s="2" t="s">
        <v>114</v>
      </c>
      <c r="E40" s="2" t="s">
        <v>182</v>
      </c>
      <c r="F40" s="2" t="s">
        <v>183</v>
      </c>
      <c r="G40" s="2" t="s">
        <v>75</v>
      </c>
      <c r="H40" s="2" t="s">
        <v>207</v>
      </c>
    </row>
    <row r="41" spans="1:8" ht="34" x14ac:dyDescent="0.2">
      <c r="A41" s="2" t="s">
        <v>176</v>
      </c>
      <c r="B41" s="2" t="s">
        <v>52</v>
      </c>
      <c r="C41" s="2">
        <v>1</v>
      </c>
      <c r="D41" s="2" t="s">
        <v>114</v>
      </c>
      <c r="E41" s="2" t="s">
        <v>182</v>
      </c>
      <c r="F41" s="2" t="s">
        <v>183</v>
      </c>
      <c r="G41" s="2" t="s">
        <v>75</v>
      </c>
      <c r="H41" s="2" t="s">
        <v>207</v>
      </c>
    </row>
    <row r="42" spans="1:8" ht="51" x14ac:dyDescent="0.2">
      <c r="A42" s="2" t="s">
        <v>176</v>
      </c>
      <c r="B42" s="2" t="s">
        <v>112</v>
      </c>
      <c r="C42" s="2">
        <v>1</v>
      </c>
      <c r="D42" s="2" t="s">
        <v>113</v>
      </c>
      <c r="E42" s="2" t="s">
        <v>182</v>
      </c>
      <c r="F42" s="2" t="s">
        <v>183</v>
      </c>
      <c r="G42" s="2" t="s">
        <v>35</v>
      </c>
      <c r="H42" s="2" t="s">
        <v>207</v>
      </c>
    </row>
    <row r="43" spans="1:8" ht="34" x14ac:dyDescent="0.2">
      <c r="A43" s="2" t="s">
        <v>176</v>
      </c>
      <c r="B43" s="2" t="s">
        <v>116</v>
      </c>
      <c r="C43" s="2">
        <v>2</v>
      </c>
      <c r="D43" s="2" t="s">
        <v>23</v>
      </c>
      <c r="E43" s="2" t="s">
        <v>182</v>
      </c>
      <c r="F43" s="2" t="s">
        <v>183</v>
      </c>
      <c r="G43" s="2" t="s">
        <v>88</v>
      </c>
      <c r="H43" s="2" t="s">
        <v>10</v>
      </c>
    </row>
    <row r="44" spans="1:8" ht="34" x14ac:dyDescent="0.2">
      <c r="A44" s="2" t="s">
        <v>176</v>
      </c>
      <c r="B44" s="2" t="s">
        <v>116</v>
      </c>
      <c r="C44" s="2">
        <v>1</v>
      </c>
      <c r="D44" s="2" t="s">
        <v>29</v>
      </c>
      <c r="E44" s="2" t="s">
        <v>182</v>
      </c>
      <c r="F44" s="2" t="s">
        <v>183</v>
      </c>
      <c r="G44" s="2" t="s">
        <v>35</v>
      </c>
      <c r="H44" s="2" t="s">
        <v>207</v>
      </c>
    </row>
    <row r="45" spans="1:8" ht="34" x14ac:dyDescent="0.2">
      <c r="A45" s="2" t="s">
        <v>176</v>
      </c>
      <c r="B45" s="2" t="s">
        <v>116</v>
      </c>
      <c r="C45" s="2">
        <v>1</v>
      </c>
      <c r="D45" s="2" t="s">
        <v>28</v>
      </c>
      <c r="E45" s="2" t="s">
        <v>182</v>
      </c>
      <c r="F45" s="2" t="s">
        <v>183</v>
      </c>
      <c r="G45" s="2" t="s">
        <v>35</v>
      </c>
      <c r="H45" s="2" t="s">
        <v>207</v>
      </c>
    </row>
    <row r="46" spans="1:8" ht="17" x14ac:dyDescent="0.2">
      <c r="A46" s="2" t="s">
        <v>176</v>
      </c>
      <c r="B46" s="2" t="s">
        <v>164</v>
      </c>
      <c r="C46" s="2">
        <v>1</v>
      </c>
      <c r="D46" s="2" t="s">
        <v>117</v>
      </c>
      <c r="E46" s="2" t="s">
        <v>182</v>
      </c>
      <c r="F46" s="2" t="s">
        <v>183</v>
      </c>
      <c r="G46" s="2" t="s">
        <v>35</v>
      </c>
      <c r="H46" s="2" t="s">
        <v>207</v>
      </c>
    </row>
    <row r="47" spans="1:8" ht="34" x14ac:dyDescent="0.2">
      <c r="A47" s="2" t="s">
        <v>176</v>
      </c>
      <c r="B47" s="2" t="s">
        <v>53</v>
      </c>
      <c r="C47" s="2">
        <v>1</v>
      </c>
      <c r="D47" s="2" t="s">
        <v>32</v>
      </c>
      <c r="E47" s="2" t="s">
        <v>182</v>
      </c>
      <c r="F47" s="2" t="s">
        <v>183</v>
      </c>
      <c r="G47" s="2" t="s">
        <v>82</v>
      </c>
      <c r="H47" s="2" t="s">
        <v>207</v>
      </c>
    </row>
    <row r="48" spans="1:8" ht="34" x14ac:dyDescent="0.2">
      <c r="A48" s="2" t="s">
        <v>176</v>
      </c>
      <c r="B48" s="2" t="s">
        <v>53</v>
      </c>
      <c r="C48" s="2">
        <v>1</v>
      </c>
      <c r="D48" s="2" t="s">
        <v>118</v>
      </c>
      <c r="E48" s="2" t="s">
        <v>182</v>
      </c>
      <c r="F48" s="2" t="s">
        <v>183</v>
      </c>
      <c r="G48" s="2" t="s">
        <v>88</v>
      </c>
      <c r="H48" s="2" t="s">
        <v>10</v>
      </c>
    </row>
    <row r="49" spans="1:8" ht="17" x14ac:dyDescent="0.2">
      <c r="A49" s="2" t="s">
        <v>176</v>
      </c>
      <c r="B49" s="2" t="s">
        <v>119</v>
      </c>
      <c r="C49" s="2">
        <v>1</v>
      </c>
      <c r="D49" s="2" t="s">
        <v>15</v>
      </c>
      <c r="E49" s="2" t="s">
        <v>182</v>
      </c>
      <c r="F49" s="2" t="s">
        <v>183</v>
      </c>
      <c r="G49" s="2" t="s">
        <v>35</v>
      </c>
      <c r="H49" s="2" t="s">
        <v>207</v>
      </c>
    </row>
    <row r="50" spans="1:8" ht="17" x14ac:dyDescent="0.2">
      <c r="A50" s="2" t="s">
        <v>176</v>
      </c>
      <c r="B50" s="2" t="s">
        <v>120</v>
      </c>
      <c r="C50" s="2">
        <v>1</v>
      </c>
      <c r="D50" s="2" t="s">
        <v>121</v>
      </c>
      <c r="E50" s="2" t="s">
        <v>182</v>
      </c>
      <c r="F50" s="2" t="s">
        <v>183</v>
      </c>
      <c r="G50" s="2" t="s">
        <v>35</v>
      </c>
      <c r="H50" s="2" t="s">
        <v>207</v>
      </c>
    </row>
    <row r="51" spans="1:8" ht="17" x14ac:dyDescent="0.2">
      <c r="A51" s="2" t="s">
        <v>176</v>
      </c>
      <c r="B51" s="2" t="s">
        <v>122</v>
      </c>
      <c r="C51" s="2">
        <v>1</v>
      </c>
      <c r="D51" s="2" t="s">
        <v>20</v>
      </c>
      <c r="E51" s="2" t="s">
        <v>182</v>
      </c>
      <c r="F51" s="2" t="s">
        <v>183</v>
      </c>
      <c r="G51" s="2" t="s">
        <v>210</v>
      </c>
      <c r="H51" s="2" t="s">
        <v>207</v>
      </c>
    </row>
    <row r="52" spans="1:8" ht="17" x14ac:dyDescent="0.2">
      <c r="A52" s="2" t="s">
        <v>176</v>
      </c>
      <c r="B52" s="2" t="s">
        <v>123</v>
      </c>
      <c r="C52" s="2">
        <v>1</v>
      </c>
      <c r="D52" s="2" t="s">
        <v>20</v>
      </c>
      <c r="E52" s="2" t="s">
        <v>182</v>
      </c>
      <c r="F52" s="2" t="s">
        <v>183</v>
      </c>
      <c r="G52" s="2" t="s">
        <v>210</v>
      </c>
      <c r="H52" s="2" t="s">
        <v>207</v>
      </c>
    </row>
    <row r="53" spans="1:8" ht="34" x14ac:dyDescent="0.2">
      <c r="A53" s="2" t="s">
        <v>176</v>
      </c>
      <c r="B53" s="2" t="s">
        <v>124</v>
      </c>
      <c r="C53" s="2">
        <v>1</v>
      </c>
      <c r="D53" s="2" t="s">
        <v>14</v>
      </c>
      <c r="E53" s="2" t="s">
        <v>182</v>
      </c>
      <c r="F53" s="2" t="s">
        <v>183</v>
      </c>
      <c r="G53" s="2" t="s">
        <v>210</v>
      </c>
      <c r="H53" s="2" t="s">
        <v>207</v>
      </c>
    </row>
    <row r="54" spans="1:8" ht="51" x14ac:dyDescent="0.2">
      <c r="A54" s="2" t="s">
        <v>176</v>
      </c>
      <c r="B54" s="2" t="s">
        <v>125</v>
      </c>
      <c r="C54" s="2">
        <v>1</v>
      </c>
      <c r="D54" s="2" t="s">
        <v>221</v>
      </c>
      <c r="E54" s="2" t="s">
        <v>182</v>
      </c>
      <c r="F54" s="2" t="s">
        <v>183</v>
      </c>
      <c r="G54" s="2" t="s">
        <v>222</v>
      </c>
      <c r="H54" s="2" t="s">
        <v>207</v>
      </c>
    </row>
    <row r="55" spans="1:8" ht="17" x14ac:dyDescent="0.2">
      <c r="A55" s="2" t="s">
        <v>176</v>
      </c>
      <c r="B55" s="2" t="s">
        <v>54</v>
      </c>
      <c r="C55" s="2">
        <v>1</v>
      </c>
      <c r="D55" s="2" t="s">
        <v>126</v>
      </c>
      <c r="E55" s="2" t="s">
        <v>182</v>
      </c>
      <c r="F55" s="2" t="s">
        <v>183</v>
      </c>
      <c r="G55" s="2" t="s">
        <v>210</v>
      </c>
      <c r="H55" s="2" t="s">
        <v>207</v>
      </c>
    </row>
    <row r="56" spans="1:8" ht="34" x14ac:dyDescent="0.2">
      <c r="A56" s="2" t="s">
        <v>176</v>
      </c>
      <c r="B56" s="2" t="s">
        <v>56</v>
      </c>
      <c r="C56" s="2">
        <v>1</v>
      </c>
      <c r="D56" s="2" t="s">
        <v>130</v>
      </c>
      <c r="E56" s="2" t="s">
        <v>182</v>
      </c>
      <c r="F56" s="2" t="s">
        <v>183</v>
      </c>
      <c r="G56" s="2" t="s">
        <v>131</v>
      </c>
      <c r="H56" s="2" t="s">
        <v>207</v>
      </c>
    </row>
    <row r="57" spans="1:8" ht="34" x14ac:dyDescent="0.2">
      <c r="A57" s="2" t="s">
        <v>176</v>
      </c>
      <c r="B57" s="2" t="s">
        <v>55</v>
      </c>
      <c r="C57" s="2">
        <v>1</v>
      </c>
      <c r="D57" s="2" t="s">
        <v>127</v>
      </c>
      <c r="E57" s="2" t="s">
        <v>182</v>
      </c>
      <c r="F57" s="2" t="s">
        <v>183</v>
      </c>
      <c r="G57" s="2" t="s">
        <v>88</v>
      </c>
      <c r="H57" s="2" t="s">
        <v>10</v>
      </c>
    </row>
    <row r="58" spans="1:8" ht="17" x14ac:dyDescent="0.2">
      <c r="A58" s="2" t="s">
        <v>176</v>
      </c>
      <c r="B58" s="2" t="s">
        <v>128</v>
      </c>
      <c r="C58" s="2">
        <v>1</v>
      </c>
      <c r="D58" s="2" t="s">
        <v>129</v>
      </c>
      <c r="E58" s="2" t="s">
        <v>182</v>
      </c>
      <c r="F58" s="2" t="s">
        <v>183</v>
      </c>
      <c r="G58" s="2" t="s">
        <v>35</v>
      </c>
      <c r="H58" s="2" t="s">
        <v>207</v>
      </c>
    </row>
    <row r="59" spans="1:8" ht="17" x14ac:dyDescent="0.2">
      <c r="A59" s="2" t="s">
        <v>176</v>
      </c>
      <c r="B59" s="2" t="s">
        <v>56</v>
      </c>
      <c r="C59" s="2">
        <v>1</v>
      </c>
      <c r="D59" s="2" t="s">
        <v>223</v>
      </c>
      <c r="E59" s="2" t="s">
        <v>182</v>
      </c>
      <c r="F59" s="2" t="s">
        <v>183</v>
      </c>
      <c r="G59" s="2" t="s">
        <v>76</v>
      </c>
      <c r="H59" s="2" t="s">
        <v>207</v>
      </c>
    </row>
    <row r="60" spans="1:8" ht="17" x14ac:dyDescent="0.2">
      <c r="A60" s="2" t="s">
        <v>176</v>
      </c>
      <c r="B60" s="2" t="s">
        <v>16</v>
      </c>
      <c r="C60" s="2">
        <v>1</v>
      </c>
      <c r="D60" s="2" t="s">
        <v>17</v>
      </c>
      <c r="E60" s="2" t="s">
        <v>182</v>
      </c>
      <c r="F60" s="2" t="s">
        <v>183</v>
      </c>
      <c r="G60" s="2" t="s">
        <v>35</v>
      </c>
      <c r="H60" s="2" t="s">
        <v>207</v>
      </c>
    </row>
    <row r="61" spans="1:8" ht="34" x14ac:dyDescent="0.2">
      <c r="A61" s="2" t="s">
        <v>176</v>
      </c>
      <c r="B61" s="2" t="s">
        <v>60</v>
      </c>
      <c r="C61" s="2">
        <v>1</v>
      </c>
      <c r="D61" s="2" t="s">
        <v>19</v>
      </c>
      <c r="E61" s="2" t="s">
        <v>182</v>
      </c>
      <c r="F61" s="2" t="s">
        <v>183</v>
      </c>
      <c r="G61" s="2" t="s">
        <v>75</v>
      </c>
      <c r="H61" s="2" t="s">
        <v>207</v>
      </c>
    </row>
    <row r="62" spans="1:8" ht="17" x14ac:dyDescent="0.2">
      <c r="A62" s="2" t="s">
        <v>176</v>
      </c>
      <c r="B62" s="2" t="s">
        <v>57</v>
      </c>
      <c r="C62" s="2">
        <v>1</v>
      </c>
      <c r="D62" s="2" t="s">
        <v>134</v>
      </c>
      <c r="E62" s="2" t="s">
        <v>182</v>
      </c>
      <c r="F62" s="2" t="s">
        <v>183</v>
      </c>
      <c r="G62" s="2" t="s">
        <v>77</v>
      </c>
      <c r="H62" s="2" t="s">
        <v>207</v>
      </c>
    </row>
    <row r="63" spans="1:8" ht="17" x14ac:dyDescent="0.2">
      <c r="A63" s="2" t="s">
        <v>176</v>
      </c>
      <c r="B63" s="2" t="s">
        <v>58</v>
      </c>
      <c r="C63" s="2">
        <v>1</v>
      </c>
      <c r="D63" s="2" t="s">
        <v>224</v>
      </c>
      <c r="E63" s="2" t="s">
        <v>182</v>
      </c>
      <c r="F63" s="2" t="s">
        <v>183</v>
      </c>
      <c r="G63" s="2" t="s">
        <v>210</v>
      </c>
      <c r="H63" s="2" t="s">
        <v>207</v>
      </c>
    </row>
    <row r="64" spans="1:8" ht="34" x14ac:dyDescent="0.2">
      <c r="A64" s="2" t="s">
        <v>176</v>
      </c>
      <c r="B64" s="2" t="s">
        <v>59</v>
      </c>
      <c r="C64" s="2">
        <v>1</v>
      </c>
      <c r="D64" s="2" t="s">
        <v>132</v>
      </c>
      <c r="E64" s="2" t="s">
        <v>182</v>
      </c>
      <c r="F64" s="2" t="s">
        <v>183</v>
      </c>
      <c r="G64" s="2" t="s">
        <v>133</v>
      </c>
      <c r="H64" s="2" t="s">
        <v>225</v>
      </c>
    </row>
    <row r="65" spans="1:8" ht="34" x14ac:dyDescent="0.2">
      <c r="A65" s="2" t="s">
        <v>176</v>
      </c>
      <c r="B65" s="2" t="s">
        <v>60</v>
      </c>
      <c r="C65" s="2">
        <v>1</v>
      </c>
      <c r="D65" s="2" t="s">
        <v>18</v>
      </c>
      <c r="E65" s="2" t="s">
        <v>182</v>
      </c>
      <c r="F65" s="2" t="s">
        <v>183</v>
      </c>
      <c r="G65" s="2" t="s">
        <v>88</v>
      </c>
      <c r="H65" s="2" t="s">
        <v>10</v>
      </c>
    </row>
    <row r="66" spans="1:8" ht="17" x14ac:dyDescent="0.2">
      <c r="A66" s="2" t="s">
        <v>176</v>
      </c>
      <c r="B66" s="2" t="s">
        <v>61</v>
      </c>
      <c r="C66" s="2">
        <v>1</v>
      </c>
      <c r="D66" s="2" t="s">
        <v>8</v>
      </c>
      <c r="E66" s="2" t="s">
        <v>182</v>
      </c>
      <c r="F66" s="2" t="s">
        <v>183</v>
      </c>
      <c r="G66" s="2" t="s">
        <v>135</v>
      </c>
      <c r="H66" s="2" t="s">
        <v>207</v>
      </c>
    </row>
    <row r="67" spans="1:8" ht="34" x14ac:dyDescent="0.2">
      <c r="A67" s="2" t="s">
        <v>176</v>
      </c>
      <c r="B67" s="2" t="s">
        <v>226</v>
      </c>
      <c r="C67" s="2">
        <v>1</v>
      </c>
      <c r="D67" s="2" t="s">
        <v>9</v>
      </c>
      <c r="E67" s="2" t="s">
        <v>182</v>
      </c>
      <c r="F67" s="2" t="s">
        <v>183</v>
      </c>
      <c r="G67" s="2" t="s">
        <v>88</v>
      </c>
      <c r="H67" s="2" t="s">
        <v>10</v>
      </c>
    </row>
    <row r="68" spans="1:8" ht="17" x14ac:dyDescent="0.2">
      <c r="A68" s="2" t="s">
        <v>176</v>
      </c>
      <c r="B68" s="2" t="s">
        <v>136</v>
      </c>
      <c r="C68" s="2">
        <v>1</v>
      </c>
      <c r="D68" s="2" t="s">
        <v>227</v>
      </c>
      <c r="E68" s="2" t="s">
        <v>182</v>
      </c>
      <c r="F68" s="2" t="s">
        <v>183</v>
      </c>
      <c r="G68" s="2" t="s">
        <v>35</v>
      </c>
      <c r="H68" s="2" t="s">
        <v>207</v>
      </c>
    </row>
    <row r="69" spans="1:8" ht="34" x14ac:dyDescent="0.2">
      <c r="A69" s="2" t="s">
        <v>176</v>
      </c>
      <c r="B69" s="2" t="s">
        <v>202</v>
      </c>
      <c r="C69" s="2">
        <v>1</v>
      </c>
      <c r="D69" s="2" t="s">
        <v>137</v>
      </c>
      <c r="E69" s="2" t="s">
        <v>182</v>
      </c>
      <c r="F69" s="2" t="s">
        <v>183</v>
      </c>
      <c r="G69" s="2" t="s">
        <v>88</v>
      </c>
      <c r="H69" s="2" t="s">
        <v>10</v>
      </c>
    </row>
    <row r="70" spans="1:8" ht="51" x14ac:dyDescent="0.2">
      <c r="A70" s="2" t="s">
        <v>176</v>
      </c>
      <c r="B70" s="2" t="s">
        <v>138</v>
      </c>
      <c r="C70" s="2">
        <v>1</v>
      </c>
      <c r="D70" s="2" t="s">
        <v>139</v>
      </c>
      <c r="E70" s="2" t="s">
        <v>182</v>
      </c>
      <c r="F70" s="2" t="s">
        <v>183</v>
      </c>
      <c r="G70" s="2" t="s">
        <v>88</v>
      </c>
      <c r="H70" s="2" t="s">
        <v>10</v>
      </c>
    </row>
    <row r="71" spans="1:8" ht="17" x14ac:dyDescent="0.2">
      <c r="A71" s="2" t="s">
        <v>176</v>
      </c>
      <c r="B71" s="2" t="s">
        <v>62</v>
      </c>
      <c r="C71" s="2">
        <v>1</v>
      </c>
      <c r="D71" s="2" t="s">
        <v>140</v>
      </c>
      <c r="E71" s="2" t="s">
        <v>182</v>
      </c>
      <c r="F71" s="2" t="s">
        <v>183</v>
      </c>
      <c r="G71" s="2" t="s">
        <v>210</v>
      </c>
      <c r="H71" s="2" t="s">
        <v>207</v>
      </c>
    </row>
    <row r="72" spans="1:8" ht="34" x14ac:dyDescent="0.2">
      <c r="A72" s="2" t="s">
        <v>176</v>
      </c>
      <c r="B72" s="2" t="s">
        <v>141</v>
      </c>
      <c r="C72" s="2">
        <v>1</v>
      </c>
      <c r="D72" s="2" t="s">
        <v>228</v>
      </c>
      <c r="E72" s="2" t="s">
        <v>182</v>
      </c>
      <c r="F72" s="2" t="s">
        <v>183</v>
      </c>
      <c r="G72" s="2" t="s">
        <v>229</v>
      </c>
      <c r="H72" s="2" t="s">
        <v>207</v>
      </c>
    </row>
    <row r="73" spans="1:8" ht="34" x14ac:dyDescent="0.2">
      <c r="A73" s="2" t="s">
        <v>176</v>
      </c>
      <c r="B73" s="2" t="s">
        <v>63</v>
      </c>
      <c r="C73" s="2">
        <v>1</v>
      </c>
      <c r="D73" s="2" t="s">
        <v>33</v>
      </c>
      <c r="E73" s="2" t="s">
        <v>182</v>
      </c>
      <c r="F73" s="2" t="s">
        <v>183</v>
      </c>
      <c r="G73" s="2" t="s">
        <v>88</v>
      </c>
      <c r="H73" s="2" t="s">
        <v>10</v>
      </c>
    </row>
    <row r="74" spans="1:8" ht="17" x14ac:dyDescent="0.2">
      <c r="A74" s="2" t="s">
        <v>176</v>
      </c>
      <c r="B74" s="2" t="s">
        <v>64</v>
      </c>
      <c r="C74" s="2">
        <v>1</v>
      </c>
      <c r="D74" s="2" t="s">
        <v>142</v>
      </c>
      <c r="E74" s="2" t="s">
        <v>182</v>
      </c>
      <c r="F74" s="2" t="s">
        <v>183</v>
      </c>
      <c r="G74" s="2" t="s">
        <v>143</v>
      </c>
      <c r="H74" s="2" t="s">
        <v>207</v>
      </c>
    </row>
    <row r="75" spans="1:8" ht="17" x14ac:dyDescent="0.2">
      <c r="A75" s="2" t="s">
        <v>176</v>
      </c>
      <c r="B75" s="2" t="s">
        <v>65</v>
      </c>
      <c r="C75" s="2">
        <v>1</v>
      </c>
      <c r="D75" s="2" t="s">
        <v>144</v>
      </c>
      <c r="E75" s="2" t="s">
        <v>182</v>
      </c>
      <c r="F75" s="2" t="s">
        <v>183</v>
      </c>
      <c r="G75" s="2" t="s">
        <v>145</v>
      </c>
      <c r="H75" s="2" t="s">
        <v>207</v>
      </c>
    </row>
    <row r="76" spans="1:8" ht="17" x14ac:dyDescent="0.2">
      <c r="A76" s="2" t="s">
        <v>176</v>
      </c>
      <c r="B76" s="2" t="s">
        <v>146</v>
      </c>
      <c r="C76" s="2">
        <v>1</v>
      </c>
      <c r="D76" s="2" t="s">
        <v>230</v>
      </c>
      <c r="E76" s="2" t="s">
        <v>182</v>
      </c>
      <c r="F76" s="2" t="s">
        <v>183</v>
      </c>
      <c r="G76" s="2" t="s">
        <v>82</v>
      </c>
      <c r="H76" s="2" t="s">
        <v>207</v>
      </c>
    </row>
    <row r="77" spans="1:8" ht="34" x14ac:dyDescent="0.2">
      <c r="A77" s="2" t="s">
        <v>176</v>
      </c>
      <c r="B77" s="2" t="s">
        <v>231</v>
      </c>
      <c r="C77" s="2">
        <v>2</v>
      </c>
      <c r="D77" s="2" t="s">
        <v>97</v>
      </c>
      <c r="E77" s="2" t="s">
        <v>182</v>
      </c>
      <c r="F77" s="2" t="s">
        <v>183</v>
      </c>
      <c r="G77" s="2" t="s">
        <v>210</v>
      </c>
      <c r="H77" s="2" t="s">
        <v>207</v>
      </c>
    </row>
    <row r="78" spans="1:8" ht="17" x14ac:dyDescent="0.2">
      <c r="A78" s="2" t="s">
        <v>176</v>
      </c>
      <c r="B78" s="2" t="s">
        <v>66</v>
      </c>
      <c r="C78" s="2">
        <v>1</v>
      </c>
      <c r="D78" s="2" t="s">
        <v>147</v>
      </c>
      <c r="E78" s="2" t="s">
        <v>182</v>
      </c>
      <c r="F78" s="2" t="s">
        <v>183</v>
      </c>
      <c r="G78" s="2" t="s">
        <v>210</v>
      </c>
      <c r="H78" s="2" t="s">
        <v>207</v>
      </c>
    </row>
    <row r="79" spans="1:8" ht="34" x14ac:dyDescent="0.2">
      <c r="A79" s="2" t="s">
        <v>176</v>
      </c>
      <c r="B79" s="2" t="s">
        <v>67</v>
      </c>
      <c r="C79" s="2">
        <v>1</v>
      </c>
      <c r="D79" s="2" t="s">
        <v>148</v>
      </c>
      <c r="E79" s="2" t="s">
        <v>182</v>
      </c>
      <c r="F79" s="2" t="s">
        <v>183</v>
      </c>
      <c r="G79" s="2" t="s">
        <v>149</v>
      </c>
      <c r="H79" s="2" t="s">
        <v>207</v>
      </c>
    </row>
    <row r="80" spans="1:8" ht="17" x14ac:dyDescent="0.2">
      <c r="A80" s="2" t="s">
        <v>176</v>
      </c>
      <c r="B80" s="2" t="s">
        <v>68</v>
      </c>
      <c r="C80" s="2">
        <v>1</v>
      </c>
      <c r="D80" s="2" t="s">
        <v>232</v>
      </c>
      <c r="E80" s="2" t="s">
        <v>182</v>
      </c>
      <c r="F80" s="2" t="s">
        <v>183</v>
      </c>
      <c r="G80" s="2" t="s">
        <v>35</v>
      </c>
      <c r="H80" s="2" t="s">
        <v>207</v>
      </c>
    </row>
    <row r="81" spans="1:9" ht="17" x14ac:dyDescent="0.2">
      <c r="A81" s="2" t="s">
        <v>176</v>
      </c>
      <c r="B81" s="2" t="s">
        <v>203</v>
      </c>
      <c r="C81" s="2">
        <v>1</v>
      </c>
      <c r="D81" s="2" t="s">
        <v>11</v>
      </c>
      <c r="E81" s="2" t="s">
        <v>182</v>
      </c>
      <c r="F81" s="2" t="s">
        <v>183</v>
      </c>
      <c r="G81" s="2" t="s">
        <v>135</v>
      </c>
      <c r="H81" s="2" t="s">
        <v>207</v>
      </c>
    </row>
    <row r="82" spans="1:9" ht="17" x14ac:dyDescent="0.2">
      <c r="A82" s="2" t="s">
        <v>176</v>
      </c>
      <c r="B82" s="2" t="s">
        <v>150</v>
      </c>
      <c r="C82" s="2">
        <v>1</v>
      </c>
      <c r="D82" s="2" t="s">
        <v>151</v>
      </c>
      <c r="E82" s="2" t="s">
        <v>182</v>
      </c>
      <c r="F82" s="2" t="s">
        <v>183</v>
      </c>
      <c r="G82" s="2" t="s">
        <v>82</v>
      </c>
      <c r="H82" s="2" t="s">
        <v>207</v>
      </c>
    </row>
    <row r="83" spans="1:9" ht="17" x14ac:dyDescent="0.2">
      <c r="A83" s="2" t="s">
        <v>176</v>
      </c>
      <c r="B83" s="2" t="s">
        <v>152</v>
      </c>
      <c r="C83" s="2">
        <v>1</v>
      </c>
      <c r="D83" s="2" t="s">
        <v>153</v>
      </c>
      <c r="E83" s="2" t="s">
        <v>182</v>
      </c>
      <c r="F83" s="2" t="s">
        <v>183</v>
      </c>
      <c r="G83" s="2" t="s">
        <v>35</v>
      </c>
      <c r="H83" s="2" t="s">
        <v>207</v>
      </c>
    </row>
    <row r="84" spans="1:9" ht="34" x14ac:dyDescent="0.2">
      <c r="A84" s="2" t="s">
        <v>176</v>
      </c>
      <c r="B84" s="2" t="s">
        <v>152</v>
      </c>
      <c r="C84" s="2">
        <v>1</v>
      </c>
      <c r="D84" s="2" t="s">
        <v>13</v>
      </c>
      <c r="E84" s="2" t="s">
        <v>182</v>
      </c>
      <c r="F84" s="2" t="s">
        <v>183</v>
      </c>
      <c r="G84" s="2" t="s">
        <v>241</v>
      </c>
      <c r="H84" s="2" t="s">
        <v>207</v>
      </c>
    </row>
    <row r="85" spans="1:9" ht="34" x14ac:dyDescent="0.2">
      <c r="A85" s="2" t="s">
        <v>176</v>
      </c>
      <c r="B85" s="2" t="s">
        <v>69</v>
      </c>
      <c r="C85" s="2">
        <v>1</v>
      </c>
      <c r="D85" s="2" t="s">
        <v>233</v>
      </c>
      <c r="E85" s="2" t="s">
        <v>182</v>
      </c>
      <c r="F85" s="2" t="s">
        <v>183</v>
      </c>
      <c r="G85" s="2" t="s">
        <v>88</v>
      </c>
      <c r="H85" s="2" t="s">
        <v>10</v>
      </c>
    </row>
    <row r="86" spans="1:9" ht="34" x14ac:dyDescent="0.2">
      <c r="A86" s="2" t="s">
        <v>176</v>
      </c>
      <c r="B86" s="2" t="s">
        <v>69</v>
      </c>
      <c r="C86" s="2">
        <v>2</v>
      </c>
      <c r="D86" s="2" t="s">
        <v>154</v>
      </c>
      <c r="E86" s="2" t="s">
        <v>182</v>
      </c>
      <c r="F86" s="2" t="s">
        <v>183</v>
      </c>
      <c r="G86" s="2" t="s">
        <v>155</v>
      </c>
      <c r="H86" s="2" t="s">
        <v>207</v>
      </c>
    </row>
    <row r="87" spans="1:9" ht="34" x14ac:dyDescent="0.2">
      <c r="A87" s="2" t="s">
        <v>176</v>
      </c>
      <c r="B87" s="2" t="s">
        <v>69</v>
      </c>
      <c r="C87" s="2">
        <v>1</v>
      </c>
      <c r="D87" s="2" t="s">
        <v>234</v>
      </c>
      <c r="E87" s="2" t="s">
        <v>182</v>
      </c>
      <c r="F87" s="2" t="s">
        <v>183</v>
      </c>
      <c r="G87" s="1" t="s">
        <v>156</v>
      </c>
      <c r="H87" s="2" t="s">
        <v>10</v>
      </c>
    </row>
    <row r="88" spans="1:9" ht="17" x14ac:dyDescent="0.2">
      <c r="A88" s="2" t="s">
        <v>176</v>
      </c>
      <c r="B88" s="2" t="s">
        <v>70</v>
      </c>
      <c r="C88" s="2">
        <v>1</v>
      </c>
      <c r="D88" s="2" t="s">
        <v>157</v>
      </c>
      <c r="E88" s="2" t="s">
        <v>182</v>
      </c>
      <c r="F88" s="2" t="s">
        <v>183</v>
      </c>
      <c r="G88" s="2" t="s">
        <v>210</v>
      </c>
      <c r="H88" s="2" t="s">
        <v>207</v>
      </c>
    </row>
    <row r="89" spans="1:9" ht="17" x14ac:dyDescent="0.2">
      <c r="A89" s="2" t="s">
        <v>176</v>
      </c>
      <c r="B89" s="2" t="s">
        <v>70</v>
      </c>
      <c r="C89" s="2">
        <v>1</v>
      </c>
      <c r="D89" s="2" t="s">
        <v>212</v>
      </c>
      <c r="E89" s="2" t="s">
        <v>182</v>
      </c>
      <c r="F89" s="2" t="s">
        <v>183</v>
      </c>
      <c r="G89" s="2" t="s">
        <v>210</v>
      </c>
      <c r="H89" s="2" t="s">
        <v>207</v>
      </c>
    </row>
    <row r="90" spans="1:9" ht="34" x14ac:dyDescent="0.2">
      <c r="A90" s="2" t="s">
        <v>176</v>
      </c>
      <c r="B90" s="2" t="s">
        <v>71</v>
      </c>
      <c r="C90" s="2">
        <v>1</v>
      </c>
      <c r="D90" s="2" t="s">
        <v>158</v>
      </c>
      <c r="E90" s="2" t="s">
        <v>182</v>
      </c>
      <c r="F90" s="2" t="s">
        <v>183</v>
      </c>
      <c r="G90" s="2" t="s">
        <v>235</v>
      </c>
      <c r="H90" s="2" t="s">
        <v>207</v>
      </c>
    </row>
    <row r="91" spans="1:9" ht="17" x14ac:dyDescent="0.2">
      <c r="A91" s="2" t="s">
        <v>176</v>
      </c>
      <c r="B91" s="2" t="s">
        <v>72</v>
      </c>
      <c r="C91" s="2">
        <v>1</v>
      </c>
      <c r="D91" s="2" t="s">
        <v>159</v>
      </c>
      <c r="E91" s="2" t="s">
        <v>182</v>
      </c>
      <c r="F91" s="2" t="s">
        <v>183</v>
      </c>
      <c r="G91" s="2" t="s">
        <v>210</v>
      </c>
      <c r="H91" s="2" t="s">
        <v>207</v>
      </c>
    </row>
    <row r="92" spans="1:9" ht="34" x14ac:dyDescent="0.2">
      <c r="A92" s="2" t="s">
        <v>176</v>
      </c>
      <c r="B92" s="2" t="s">
        <v>73</v>
      </c>
      <c r="C92" s="2">
        <v>2</v>
      </c>
      <c r="D92" s="2" t="s">
        <v>160</v>
      </c>
      <c r="E92" s="2" t="s">
        <v>182</v>
      </c>
      <c r="F92" s="2" t="s">
        <v>183</v>
      </c>
      <c r="G92" s="2" t="s">
        <v>236</v>
      </c>
      <c r="H92" s="2" t="s">
        <v>207</v>
      </c>
    </row>
    <row r="93" spans="1:9" ht="51" x14ac:dyDescent="0.2">
      <c r="A93" s="2" t="s">
        <v>176</v>
      </c>
      <c r="B93" s="2" t="s">
        <v>204</v>
      </c>
      <c r="C93" s="2">
        <v>1</v>
      </c>
      <c r="D93" s="2" t="s">
        <v>161</v>
      </c>
      <c r="E93" s="2" t="s">
        <v>182</v>
      </c>
      <c r="F93" s="2" t="s">
        <v>183</v>
      </c>
      <c r="G93" s="2" t="s">
        <v>76</v>
      </c>
      <c r="H93" s="2" t="s">
        <v>207</v>
      </c>
    </row>
    <row r="94" spans="1:9" ht="68" x14ac:dyDescent="0.2">
      <c r="A94" s="2" t="s">
        <v>176</v>
      </c>
      <c r="B94" s="2" t="s">
        <v>205</v>
      </c>
      <c r="C94" s="2">
        <v>1</v>
      </c>
      <c r="D94" s="2" t="s">
        <v>162</v>
      </c>
      <c r="E94" s="2" t="s">
        <v>182</v>
      </c>
      <c r="F94" s="2" t="s">
        <v>183</v>
      </c>
      <c r="G94" s="2" t="s">
        <v>210</v>
      </c>
      <c r="H94" s="2" t="s">
        <v>207</v>
      </c>
      <c r="I94" s="2" t="s">
        <v>237</v>
      </c>
    </row>
    <row r="95" spans="1:9" ht="51" x14ac:dyDescent="0.2">
      <c r="A95" s="2" t="s">
        <v>176</v>
      </c>
      <c r="B95" s="2" t="s">
        <v>163</v>
      </c>
      <c r="C95" s="2">
        <v>1</v>
      </c>
      <c r="D95" s="2" t="s">
        <v>206</v>
      </c>
      <c r="E95" s="2" t="s">
        <v>182</v>
      </c>
      <c r="F95" s="2" t="s">
        <v>183</v>
      </c>
      <c r="G95" s="2" t="s">
        <v>155</v>
      </c>
      <c r="H95" s="2" t="s">
        <v>207</v>
      </c>
      <c r="I95" s="2" t="s">
        <v>238</v>
      </c>
    </row>
    <row r="96" spans="1:9" x14ac:dyDescent="0.2">
      <c r="H96"/>
    </row>
    <row r="97" spans="1:9" ht="34" x14ac:dyDescent="0.2">
      <c r="A97" s="4" t="s">
        <v>178</v>
      </c>
      <c r="B97" s="4">
        <f>ROWS(D2:D95)</f>
        <v>94</v>
      </c>
      <c r="G97" s="4" t="s">
        <v>243</v>
      </c>
      <c r="H97" s="4">
        <f>COUNTIF(H2:H95, "Europe")</f>
        <v>78</v>
      </c>
      <c r="I97" s="4">
        <f>(H97/94)*100</f>
        <v>82.978723404255319</v>
      </c>
    </row>
    <row r="98" spans="1:9" ht="34" x14ac:dyDescent="0.2">
      <c r="A98" s="4" t="s">
        <v>242</v>
      </c>
      <c r="B98" s="4">
        <f>ROWS(_xlfn.UNIQUE(D2:D95))</f>
        <v>89</v>
      </c>
      <c r="G98" s="4" t="s">
        <v>244</v>
      </c>
      <c r="H98" s="4">
        <f>COUNTIF(H2:H95, "North America")</f>
        <v>15</v>
      </c>
      <c r="I98" s="4">
        <f>(H98/94)*100</f>
        <v>15.957446808510639</v>
      </c>
    </row>
    <row r="99" spans="1:9" ht="17" x14ac:dyDescent="0.2">
      <c r="G99" s="4" t="s">
        <v>245</v>
      </c>
      <c r="H99" s="4">
        <f>COUNTIF(H2:H95, "Asia")</f>
        <v>1</v>
      </c>
      <c r="I99" s="4">
        <f>(H99/94)*100</f>
        <v>1.0638297872340425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BTEC L2</vt:lpstr>
      <vt:lpstr>BTEC 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Skyla White</cp:lastModifiedBy>
  <dcterms:created xsi:type="dcterms:W3CDTF">2026-08-18T12:08:48Z</dcterms:created>
  <dcterms:modified xsi:type="dcterms:W3CDTF">2026-08-27T13:33:38Z</dcterms:modified>
</cp:coreProperties>
</file>